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reet\DS-Projects\New folder (5)\"/>
    </mc:Choice>
  </mc:AlternateContent>
  <xr:revisionPtr revIDLastSave="0" documentId="13_ncr:1_{C481CFB5-999B-4701-B203-73BC66C19E4E}" xr6:coauthVersionLast="47" xr6:coauthVersionMax="47" xr10:uidLastSave="{00000000-0000-0000-0000-000000000000}"/>
  <bookViews>
    <workbookView xWindow="-118" yWindow="-118" windowWidth="25370" windowHeight="13667" tabRatio="849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F17" i="16" l="1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F16" i="16"/>
  <c r="E16" i="16"/>
  <c r="D16" i="16"/>
  <c r="C16" i="16"/>
  <c r="B16" i="16"/>
  <c r="E30" i="18"/>
  <c r="D30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6" i="18"/>
  <c r="E6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5" i="15"/>
  <c r="F29" i="18" l="1"/>
  <c r="E29" i="18"/>
  <c r="D29" i="18"/>
  <c r="F30" i="18"/>
  <c r="F28" i="18"/>
  <c r="E28" i="18"/>
  <c r="D28" i="18"/>
  <c r="C30" i="18"/>
  <c r="C28" i="18"/>
  <c r="C29" i="18"/>
  <c r="B29" i="18"/>
  <c r="B30" i="18"/>
  <c r="B28" i="18"/>
  <c r="C13" i="19" l="1"/>
  <c r="C13" i="19" a="1"/>
  <c r="H41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<sst xmlns="http://schemas.openxmlformats.org/spreadsheetml/2006/main" count="364" uniqueCount="214">
  <si>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</si>
  <si>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</si>
  <si>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</si>
  <si>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</si>
  <si>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</si>
  <si>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</si>
  <si>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</si>
  <si>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</si>
  <si>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</si>
  <si>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</si>
  <si>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</si>
  <si>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</si>
  <si>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</si>
  <si>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</si>
  <si>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</si>
  <si>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</si>
  <si>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</si>
  <si>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</si>
  <si>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</si>
  <si>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</si>
  <si>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</si>
  <si>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</si>
  <si>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</si>
  <si>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</si>
  <si>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</si>
  <si>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</si>
  <si>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</si>
  <si>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</si>
  <si>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</si>
  <si>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</si>
  <si>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</si>
  <si>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</si>
  <si>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</si>
  <si>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</si>
  <si>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</si>
  <si>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</si>
  <si>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</si>
  <si>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</si>
  <si>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</si>
  <si>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</si>
  <si>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</si>
  <si>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</si>
  <si>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</si>
  <si>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</si>
  <si>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</si>
  <si>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</si>
  <si>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</si>
  <si>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</si>
  <si>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</si>
  <si>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</si>
  <si>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</si>
  <si>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</si>
  <si>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</si>
  <si>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</si>
  <si>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</si>
  <si>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</si>
  <si>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</si>
  <si>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</si>
  <si>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</si>
  <si>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</si>
  <si>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</si>
  <si>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</si>
  <si>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</si>
  <si>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</si>
  <si>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</si>
  <si>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</si>
  <si>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</si>
  <si>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</si>
  <si>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</si>
  <si>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</si>
  <si>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</si>
  <si>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</si>
  <si>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</si>
  <si>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</si>
  <si>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</si>
  <si>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</si>
  <si>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</si>
  <si>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</si>
  <si>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</si>
  <si>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</si>
  <si>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</si>
  <si>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</si>
  <si>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</si>
  <si>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</si>
  <si>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</si>
  <si>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</si>
  <si>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</si>
  <si>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</si>
  <si>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</si>
  <si>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</si>
  <si>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</si>
  <si>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</si>
  <si>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</si>
  <si>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</si>
  <si>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</si>
  <si>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</si>
  <si>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</si>
  <si>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</si>
  <si>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</si>
  <si>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</si>
  <si>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</si>
  <si>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</si>
  <si>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</si>
  <si>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</si>
  <si>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</si>
  <si>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</si>
  <si>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</si>
  <si>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</si>
  <si>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</si>
  <si>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</si>
  <si>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</si>
  <si>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</si>
  <si>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</si>
  <si>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</si>
  <si>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</si>
  <si>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</si>
  <si>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</si>
  <si>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</si>
  <si>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</si>
  <si>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</si>
  <si>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</si>
  <si>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</si>
  <si>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</si>
  <si>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</si>
  <si>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</si>
  <si>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</si>
  <si>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</si>
  <si>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</si>
  <si>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</si>
  <si>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</si>
  <si>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</si>
  <si>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</si>
  <si>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</si>
  <si>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</si>
  <si>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</si>
  <si>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</si>
  <si>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</si>
  <si>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</si>
  <si>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</si>
  <si>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</si>
  <si>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</si>
  <si>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</si>
  <si>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</si>
  <si>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</si>
  <si>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</si>
  <si>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</si>
  <si>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</si>
  <si>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</si>
  <si>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</si>
  <si>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</si>
  <si>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</si>
  <si>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</si>
  <si>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</si>
  <si>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</si>
  <si>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</si>
  <si>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</si>
  <si>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</si>
  <si>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</si>
  <si>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</si>
  <si>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</si>
  <si>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</si>
  <si>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</si>
  <si>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</si>
  <si>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</si>
  <si>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</si>
  <si>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</si>
  <si>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</si>
  <si>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</si>
  <si>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</si>
  <si>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</si>
  <si>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</si>
  <si>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</si>
  <si>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</si>
  <si>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</si>
  <si>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</si>
  <si>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</si>
  <si>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</si>
  <si>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2023-05-05</t>
  </si>
  <si>
    <t>2023-05-02</t>
  </si>
  <si>
    <t>2023-05-09</t>
  </si>
  <si>
    <t>2023-05-13</t>
  </si>
  <si>
    <t>2023-05-30</t>
  </si>
  <si>
    <t>2023-05-11</t>
  </si>
  <si>
    <t>2023-05-06</t>
  </si>
  <si>
    <t>2023-06-21</t>
  </si>
  <si>
    <t>2023-06-15</t>
  </si>
  <si>
    <t>2023-06-27</t>
  </si>
  <si>
    <t>2023-07-09</t>
  </si>
  <si>
    <t>2023-07-03</t>
  </si>
  <si>
    <t>2023-06-18</t>
  </si>
  <si>
    <t>2023-07-06</t>
  </si>
  <si>
    <t>2023-05-17</t>
  </si>
  <si>
    <t>2023-05-25</t>
  </si>
  <si>
    <t>2023-06-08</t>
  </si>
  <si>
    <t>2023-06-22</t>
  </si>
  <si>
    <t>2023-06-14</t>
  </si>
  <si>
    <t>2023-06-02</t>
  </si>
  <si>
    <t>2023-05-29</t>
  </si>
  <si>
    <t>2023-07-07</t>
  </si>
  <si>
    <t>2023-07-11</t>
  </si>
  <si>
    <t>2023-08-04</t>
  </si>
  <si>
    <t>2023-08-08</t>
  </si>
  <si>
    <t>2023-07-01</t>
  </si>
  <si>
    <t>2023-08-15</t>
  </si>
  <si>
    <t>2023-08-12</t>
  </si>
  <si>
    <t>2023-08-19</t>
  </si>
  <si>
    <t>2023-08-05</t>
  </si>
  <si>
    <t>2023-08-28</t>
  </si>
  <si>
    <t>2023-08-24</t>
  </si>
  <si>
    <t>2023-08-22</t>
  </si>
  <si>
    <t>2023-09-10</t>
  </si>
  <si>
    <t>These formulas use a combination of MID, SEARCH, and FIND functions to locate the positions of hyphens and extract the corresponding substrings. Adjust cell references as needed for your actual data layout.</t>
  </si>
  <si>
    <t>Ctrl+H</t>
  </si>
  <si>
    <t>Using find and replace, replace #N/A with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</si>
</sst>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1" x14ac:dyDescent="0.25"/>
  <cols>
    <col min="1" max="1" width="70.85546875" style="2" bestFit="1" customWidth="1"/>
    <col min="2" max="16384" width="11" style="2"/>
  </cols>
  <sheetData>
    <row r="1" spans="1:3" ht="18.350000000000001" x14ac:dyDescent="0.35">
      <c r="A1" s="39" t="s">
        <v>108</v>
      </c>
    </row>
    <row r="2" spans="1:3" x14ac:dyDescent="0.25">
      <c r="A2" s="2" t="s">
        <v>109</v>
      </c>
    </row>
    <row r="3" spans="1:3" x14ac:dyDescent="0.25">
      <c r="A3" s="2" t="s">
        <v>110</v>
      </c>
    </row>
    <row r="4" spans="1:3" ht="15.05" x14ac:dyDescent="0.3">
      <c r="A4" s="2" t="s">
        <v>111</v>
      </c>
      <c r="C4" s="1"/>
    </row>
    <row r="5" spans="1:3" x14ac:dyDescent="0.25">
      <c r="A5" s="2" t="s">
        <v>152</v>
      </c>
    </row>
    <row r="8" spans="1:3" x14ac:dyDescent="0.25">
      <c r="A8" s="2" t="s">
        <v>173</v>
      </c>
    </row>
    <row r="9" spans="1:3" x14ac:dyDescent="0.25">
      <c r="A9" s="36" t="s">
        <v>171</v>
      </c>
      <c r="B9" s="25" t="s">
        <v>169</v>
      </c>
    </row>
    <row r="10" spans="1:3" x14ac:dyDescent="0.25">
      <c r="A10" s="35" t="s">
        <v>172</v>
      </c>
      <c r="B10" s="37">
        <v>25</v>
      </c>
    </row>
    <row r="11" spans="1:3" x14ac:dyDescent="0.25">
      <c r="A11" s="35" t="s">
        <v>55</v>
      </c>
      <c r="B11" s="37">
        <v>30</v>
      </c>
    </row>
    <row r="12" spans="1:3" x14ac:dyDescent="0.25">
      <c r="A12" s="35" t="s">
        <v>56</v>
      </c>
      <c r="B12" s="37">
        <v>10</v>
      </c>
    </row>
    <row r="13" spans="1:3" x14ac:dyDescent="0.25">
      <c r="A13" s="35" t="s">
        <v>85</v>
      </c>
      <c r="B13" s="37">
        <v>20</v>
      </c>
    </row>
    <row r="14" spans="1:3" x14ac:dyDescent="0.25">
      <c r="A14" s="35" t="s">
        <v>98</v>
      </c>
      <c r="B14" s="37">
        <v>40</v>
      </c>
    </row>
    <row r="15" spans="1:3" x14ac:dyDescent="0.25">
      <c r="A15" s="38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" activePane="bottomLeft" state="frozen"/>
      <selection pane="bottomLeft" activeCell="B12" sqref="B12"/>
    </sheetView>
  </sheetViews>
  <sheetFormatPr defaultColWidth="9" defaultRowHeight="15.05" x14ac:dyDescent="0.3"/>
  <cols>
    <col min="1" max="1" width="25.28515625" style="1" bestFit="1" customWidth="1"/>
    <col min="2" max="2" width="7.28515625" style="1" bestFit="1" customWidth="1"/>
    <col min="3" max="3" width="9.85546875" style="1" bestFit="1" customWidth="1"/>
    <col min="4" max="4" width="11" style="23" customWidth="1"/>
    <col min="5" max="5" width="9.140625" style="1" bestFit="1" customWidth="1"/>
    <col min="6" max="6" width="10.28515625" style="23" bestFit="1" customWidth="1"/>
    <col min="7" max="9" width="12.85546875" style="1" bestFit="1" customWidth="1"/>
    <col min="10" max="12" width="13" style="1" bestFit="1" customWidth="1"/>
    <col min="13" max="15" width="14.140625" style="1" bestFit="1" customWidth="1"/>
    <col min="16" max="18" width="14.28515625" style="1" bestFit="1" customWidth="1"/>
    <col min="19" max="20" width="18.85546875" style="1" bestFit="1" customWidth="1"/>
    <col min="21" max="23" width="19" style="1" bestFit="1" customWidth="1"/>
    <col min="24" max="24" width="12.140625" style="1" bestFit="1" customWidth="1"/>
    <col min="25" max="16384" width="9" style="1"/>
  </cols>
  <sheetData>
    <row r="1" spans="1:24" s="3" customFormat="1" ht="14.9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 t="s">
        <v>177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 t="s">
        <v>178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 t="s">
        <v>179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 t="s">
        <v>180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 t="s">
        <v>181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 t="s">
        <v>182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 t="s">
        <v>183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 t="s">
        <v>184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 t="s">
        <v>185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 t="s">
        <v>186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 t="s">
        <v>187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 t="s">
        <v>188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 t="s">
        <v>189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 t="s">
        <v>190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 t="s">
        <v>191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 t="s">
        <v>192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 t="s">
        <v>193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 t="s">
        <v>194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 t="s">
        <v>195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 t="s">
        <v>196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 t="s">
        <v>197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 t="s">
        <v>188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 t="s">
        <v>198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 t="s">
        <v>199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 t="s">
        <v>200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 t="s">
        <v>201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 t="s">
        <v>202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 t="s">
        <v>203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 t="s">
        <v>204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 t="s">
        <v>205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 t="s">
        <v>206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 t="s">
        <v>207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 t="s">
        <v>208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 t="s">
        <v>209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 t="s">
        <v>210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 t="s">
        <v>205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 t="s">
        <v>206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 t="s">
        <v>207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 t="s">
        <v>208</v>
      </c>
    </row>
    <row r="41" spans="1:24" x14ac:dyDescent="0.3">
      <c r="H41" s="1">
        <f ca="1">SUMIF(H:H, "&gt;20")</f>
        <v>0</v>
      </c>
    </row>
  </sheetData>
  <conditionalFormatting sqref="A1:A1048576">
    <cfRule type="duplicateValues" dxfId="4" priority="6"/>
  </conditionalFormatting>
  <conditionalFormatting sqref="B1:B1048576">
    <cfRule type="duplicateValues" dxfId="3" priority="5"/>
  </conditionalFormatting>
  <conditionalFormatting sqref="G1:W40">
    <cfRule type="cellIs" dxfId="2" priority="1" operator="equal">
      <formula>0</formula>
    </cfRule>
    <cfRule type="cellIs" dxfId="1" priority="2" operator="equal">
      <formula>-1</formula>
    </cfRule>
    <cfRule type="cellIs" dxfId="0" priority="3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8" sqref="B8"/>
    </sheetView>
  </sheetViews>
  <sheetFormatPr defaultColWidth="11" defaultRowHeight="15.05" x14ac:dyDescent="0.3"/>
  <cols>
    <col min="1" max="1" width="8.28515625" style="1" bestFit="1" customWidth="1"/>
    <col min="2" max="2" width="65.85546875" style="1" bestFit="1" customWidth="1"/>
    <col min="3" max="3" width="27.7109375" style="1" bestFit="1" customWidth="1"/>
    <col min="4" max="4" width="11" style="1"/>
    <col min="5" max="5" width="22.28515625" style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>
        <f>SUMIF(H:H, "&gt;20")</f>
        <v>0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D16" sqref="D16"/>
    </sheetView>
  </sheetViews>
  <sheetFormatPr defaultColWidth="11" defaultRowHeight="13.1" x14ac:dyDescent="0.25"/>
  <cols>
    <col min="1" max="1" width="18.7109375" style="2" bestFit="1" customWidth="1"/>
    <col min="2" max="6" width="15.28515625" style="2" customWidth="1"/>
    <col min="7" max="7" width="11" style="2"/>
    <col min="8" max="8" width="14.28515625" style="2" bestFit="1" customWidth="1"/>
    <col min="9" max="16384" width="11" style="2"/>
  </cols>
  <sheetData>
    <row r="1" spans="1:7" s="41" customFormat="1" ht="20.3" x14ac:dyDescent="0.35">
      <c r="A1" s="42" t="s">
        <v>55</v>
      </c>
      <c r="B1" s="41" t="s">
        <v>164</v>
      </c>
    </row>
    <row r="2" spans="1:7" s="41" customFormat="1" ht="20.3" x14ac:dyDescent="0.35">
      <c r="B2" s="41" t="s">
        <v>161</v>
      </c>
    </row>
    <row r="3" spans="1:7" ht="15.05" x14ac:dyDescent="0.3">
      <c r="A3" s="1"/>
      <c r="B3" s="1"/>
      <c r="C3" s="1"/>
      <c r="D3" s="1"/>
      <c r="E3" s="1"/>
      <c r="F3" s="1"/>
      <c r="G3" s="1"/>
    </row>
    <row r="4" spans="1:7" ht="24.25" x14ac:dyDescent="0.45">
      <c r="A4" s="17" t="s">
        <v>162</v>
      </c>
      <c r="B4" s="1"/>
      <c r="C4" s="1"/>
      <c r="D4" s="1"/>
      <c r="E4" s="1"/>
      <c r="F4" s="1"/>
      <c r="G4" s="1"/>
    </row>
    <row r="5" spans="1:7" ht="15.05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.05" x14ac:dyDescent="0.3">
      <c r="A6" s="7" t="s">
        <v>40</v>
      </c>
      <c r="B6" s="11">
        <f>VLOOKUP(A6,Dataset!A:G,7,FALSE)</f>
        <v>2.7</v>
      </c>
      <c r="C6" s="11">
        <f>VLOOKUP(A6,Dataset!A:N,14,FALSE)</f>
        <v>7.6</v>
      </c>
      <c r="D6" s="11">
        <f>VLOOKUP(A6,Dataset!A:R,18,FALSE)</f>
        <v>4.2</v>
      </c>
      <c r="E6" s="11">
        <f>VLOOKUP(A6,Dataset!A:T,20,FALSE)</f>
        <v>8.9</v>
      </c>
      <c r="F6" s="8">
        <f>VLOOKUP(A6,Dataset!A:V,22,FALSE)</f>
        <v>4.2</v>
      </c>
    </row>
    <row r="7" spans="1:7" ht="15.05" x14ac:dyDescent="0.3">
      <c r="A7" s="7" t="s">
        <v>4</v>
      </c>
      <c r="B7" s="11">
        <f>VLOOKUP(A7,Dataset!A:G,7,FALSE)</f>
        <v>2.7</v>
      </c>
      <c r="C7" s="11">
        <f>VLOOKUP(A7,Dataset!A:N,14,FALSE)</f>
        <v>7.6</v>
      </c>
      <c r="D7" s="11">
        <f>VLOOKUP(A7,Dataset!A:R,18,FALSE)</f>
        <v>4.2</v>
      </c>
      <c r="E7" s="11">
        <f>VLOOKUP(A7,Dataset!A:T,20,FALSE)</f>
        <v>8.9</v>
      </c>
      <c r="F7" s="8">
        <f>VLOOKUP(A7,Dataset!A:V,22,FALSE)</f>
        <v>4.2</v>
      </c>
    </row>
    <row r="8" spans="1:7" ht="15.05" x14ac:dyDescent="0.3">
      <c r="A8" s="7" t="s">
        <v>7</v>
      </c>
      <c r="B8" s="11">
        <f>VLOOKUP(A8,Dataset!A:G,7,FALSE)</f>
        <v>3.6</v>
      </c>
      <c r="C8" s="11">
        <f>VLOOKUP(A8,Dataset!A:N,14,FALSE)</f>
        <v>11.1</v>
      </c>
      <c r="D8" s="11">
        <f>VLOOKUP(A8,Dataset!A:R,18,FALSE)</f>
        <v>5.8</v>
      </c>
      <c r="E8" s="11">
        <f>VLOOKUP(A8,Dataset!A:T,20,FALSE)</f>
        <v>12.2</v>
      </c>
      <c r="F8" s="8">
        <f>VLOOKUP(A8,Dataset!A:V,22,FALSE)</f>
        <v>5.8</v>
      </c>
    </row>
    <row r="9" spans="1:7" ht="15.05" x14ac:dyDescent="0.3">
      <c r="A9" s="7" t="s">
        <v>8</v>
      </c>
      <c r="B9" s="11">
        <f>VLOOKUP(A9,Dataset!A:G,7,FALSE)</f>
        <v>4.9000000000000004</v>
      </c>
      <c r="C9" s="11">
        <f>VLOOKUP(A9,Dataset!A:N,14,FALSE)</f>
        <v>13.3</v>
      </c>
      <c r="D9" s="11">
        <f>VLOOKUP(A9,Dataset!A:R,18,FALSE)</f>
        <v>8.1</v>
      </c>
      <c r="E9" s="11">
        <f>VLOOKUP(A9,Dataset!A:T,20,FALSE)</f>
        <v>17</v>
      </c>
      <c r="F9" s="8">
        <f>VLOOKUP(A9,Dataset!A:V,22,FALSE)</f>
        <v>8.1</v>
      </c>
    </row>
    <row r="10" spans="1:7" ht="15.05" x14ac:dyDescent="0.3">
      <c r="A10" s="7" t="s">
        <v>11</v>
      </c>
      <c r="B10" s="11">
        <f>VLOOKUP(A10,Dataset!A:G,7,FALSE)</f>
        <v>9.4</v>
      </c>
      <c r="C10" s="11">
        <f>VLOOKUP(A10,Dataset!A:N,14,FALSE)</f>
        <v>28.3</v>
      </c>
      <c r="D10" s="11">
        <f>VLOOKUP(A10,Dataset!A:R,18,FALSE)</f>
        <v>16.100000000000001</v>
      </c>
      <c r="E10" s="11">
        <f>VLOOKUP(A10,Dataset!A:T,20,FALSE)</f>
        <v>32.799999999999997</v>
      </c>
      <c r="F10" s="8">
        <f>VLOOKUP(A10,Dataset!A:V,22,FALSE)</f>
        <v>16.100000000000001</v>
      </c>
    </row>
    <row r="11" spans="1:7" ht="15.05" x14ac:dyDescent="0.3">
      <c r="A11" s="7" t="s">
        <v>12</v>
      </c>
      <c r="B11" s="11">
        <f>VLOOKUP(A11,Dataset!A:G,7,FALSE)</f>
        <v>11.6</v>
      </c>
      <c r="C11" s="11">
        <f>VLOOKUP(A11,Dataset!A:N,14,FALSE)</f>
        <v>35.200000000000003</v>
      </c>
      <c r="D11" s="11">
        <f>VLOOKUP(A11,Dataset!A:R,18,FALSE)</f>
        <v>21.3</v>
      </c>
      <c r="E11" s="11">
        <f>VLOOKUP(A11,Dataset!A:T,20,FALSE)</f>
        <v>43</v>
      </c>
      <c r="F11" s="8">
        <f>VLOOKUP(A11,Dataset!A:V,22,FALSE)</f>
        <v>21.3</v>
      </c>
    </row>
    <row r="12" spans="1:7" ht="15.05" x14ac:dyDescent="0.3">
      <c r="A12" s="7" t="s">
        <v>14</v>
      </c>
      <c r="B12" s="11">
        <f>VLOOKUP(A12,Dataset!A:G,7,FALSE)</f>
        <v>18.399999999999999</v>
      </c>
      <c r="C12" s="11">
        <f>VLOOKUP(A12,Dataset!A:N,14,FALSE)</f>
        <v>55.6</v>
      </c>
      <c r="D12" s="11">
        <f>VLOOKUP(A12,Dataset!A:R,18,FALSE)</f>
        <v>33.799999999999997</v>
      </c>
      <c r="E12" s="11">
        <f>VLOOKUP(A12,Dataset!A:T,20,FALSE)</f>
        <v>67.900000000000006</v>
      </c>
      <c r="F12" s="8">
        <f>VLOOKUP(A12,Dataset!A:V,22,FALSE)</f>
        <v>33.799999999999997</v>
      </c>
    </row>
    <row r="13" spans="1:7" ht="15.05" x14ac:dyDescent="0.3">
      <c r="A13" s="7" t="s">
        <v>15</v>
      </c>
      <c r="B13" s="11">
        <f>VLOOKUP(A13,Dataset!A:G,7,FALSE)</f>
        <v>0</v>
      </c>
      <c r="C13" s="11">
        <f>VLOOKUP(A13,Dataset!A:N,14,FALSE)</f>
        <v>0</v>
      </c>
      <c r="D13" s="11">
        <f>VLOOKUP(A13,Dataset!A:R,18,FALSE)</f>
        <v>0</v>
      </c>
      <c r="E13" s="11">
        <f>VLOOKUP(A13,Dataset!A:T,20,FALSE)</f>
        <v>0</v>
      </c>
      <c r="F13" s="8">
        <f>VLOOKUP(A13,Dataset!A:V,22,FALSE)</f>
        <v>0</v>
      </c>
    </row>
    <row r="14" spans="1:7" ht="15.05" x14ac:dyDescent="0.3">
      <c r="A14" s="7" t="s">
        <v>16</v>
      </c>
      <c r="B14" s="11">
        <f>VLOOKUP(A14,Dataset!A:G,7,FALSE)</f>
        <v>21.9</v>
      </c>
      <c r="C14" s="11">
        <f>VLOOKUP(A14,Dataset!A:N,14,FALSE)</f>
        <v>61.5</v>
      </c>
      <c r="D14" s="11">
        <f>VLOOKUP(A14,Dataset!A:R,18,FALSE)</f>
        <v>40.1</v>
      </c>
      <c r="E14" s="11">
        <f>VLOOKUP(A14,Dataset!A:T,20,FALSE)</f>
        <v>76.599999999999994</v>
      </c>
      <c r="F14" s="8">
        <f>VLOOKUP(A14,Dataset!A:V,22,FALSE)</f>
        <v>40.1</v>
      </c>
    </row>
    <row r="15" spans="1:7" ht="15.05" x14ac:dyDescent="0.3">
      <c r="A15" s="7" t="s">
        <v>18</v>
      </c>
      <c r="B15" s="11">
        <f>VLOOKUP(A15,Dataset!A:G,7,FALSE)</f>
        <v>26.8</v>
      </c>
      <c r="C15" s="11">
        <f>VLOOKUP(A15,Dataset!A:N,14,FALSE)</f>
        <v>79.599999999999994</v>
      </c>
      <c r="D15" s="11">
        <f>VLOOKUP(A15,Dataset!A:R,18,FALSE)</f>
        <v>47.9</v>
      </c>
      <c r="E15" s="11">
        <f>VLOOKUP(A15,Dataset!A:T,20,FALSE)</f>
        <v>96.8</v>
      </c>
      <c r="F15" s="8">
        <f>VLOOKUP(A15,Dataset!A:V,22,FALSE)</f>
        <v>47.9</v>
      </c>
    </row>
    <row r="16" spans="1:7" ht="15.05" x14ac:dyDescent="0.3">
      <c r="A16" s="7" t="s">
        <v>20</v>
      </c>
      <c r="B16" s="11">
        <f>VLOOKUP(A16,Dataset!A:G,7,FALSE)</f>
        <v>28.5</v>
      </c>
      <c r="C16" s="11">
        <f>VLOOKUP(A16,Dataset!A:N,14,FALSE)</f>
        <v>85.4</v>
      </c>
      <c r="D16" s="11">
        <f>VLOOKUP(A16,Dataset!A:R,18,FALSE)</f>
        <v>52.3</v>
      </c>
      <c r="E16" s="11">
        <f>VLOOKUP(A16,Dataset!A:T,20,FALSE)</f>
        <v>106.1</v>
      </c>
      <c r="F16" s="8">
        <f>VLOOKUP(A16,Dataset!A:V,22,FALSE)</f>
        <v>52.3</v>
      </c>
    </row>
    <row r="17" spans="1:6" ht="15.05" x14ac:dyDescent="0.3">
      <c r="A17" s="7" t="s">
        <v>22</v>
      </c>
      <c r="B17" s="11">
        <f>VLOOKUP(A17,Dataset!A:G,7,FALSE)</f>
        <v>30.7</v>
      </c>
      <c r="C17" s="11">
        <f>VLOOKUP(A17,Dataset!A:N,14,FALSE)</f>
        <v>92.1</v>
      </c>
      <c r="D17" s="11">
        <f>VLOOKUP(A17,Dataset!A:R,18,FALSE)</f>
        <v>57</v>
      </c>
      <c r="E17" s="11">
        <f>VLOOKUP(A17,Dataset!A:T,20,FALSE)</f>
        <v>115.1</v>
      </c>
      <c r="F17" s="8">
        <f>VLOOKUP(A17,Dataset!A:V,22,FALSE)</f>
        <v>57</v>
      </c>
    </row>
    <row r="18" spans="1:6" ht="15.05" x14ac:dyDescent="0.3">
      <c r="A18" s="7" t="s">
        <v>23</v>
      </c>
      <c r="B18" s="11">
        <f>VLOOKUP(A18,Dataset!A:G,7,FALSE)</f>
        <v>33.799999999999997</v>
      </c>
      <c r="C18" s="11">
        <f>VLOOKUP(A18,Dataset!A:N,14,FALSE)</f>
        <v>101.3</v>
      </c>
      <c r="D18" s="11">
        <f>VLOOKUP(A18,Dataset!A:R,18,FALSE)</f>
        <v>61.4</v>
      </c>
      <c r="E18" s="11">
        <f>VLOOKUP(A18,Dataset!A:T,20,FALSE)</f>
        <v>124.4</v>
      </c>
      <c r="F18" s="8">
        <f>VLOOKUP(A18,Dataset!A:V,22,FALSE)</f>
        <v>61.4</v>
      </c>
    </row>
    <row r="19" spans="1:6" ht="15.05" x14ac:dyDescent="0.3">
      <c r="A19" s="7" t="s">
        <v>24</v>
      </c>
      <c r="B19" s="11">
        <f>VLOOKUP(A19,Dataset!A:G,7,FALSE)</f>
        <v>34.700000000000003</v>
      </c>
      <c r="C19" s="11">
        <f>VLOOKUP(A19,Dataset!A:N,14,FALSE)</f>
        <v>106.1</v>
      </c>
      <c r="D19" s="11">
        <f>VLOOKUP(A19,Dataset!A:R,18,FALSE)</f>
        <v>63.6</v>
      </c>
      <c r="E19" s="11">
        <f>VLOOKUP(A19,Dataset!A:T,20,FALSE)</f>
        <v>128.6</v>
      </c>
      <c r="F19" s="8">
        <f>VLOOKUP(A19,Dataset!A:V,22,FALSE)</f>
        <v>63.6</v>
      </c>
    </row>
    <row r="20" spans="1:6" ht="15.05" x14ac:dyDescent="0.3">
      <c r="A20" s="7" t="s">
        <v>28</v>
      </c>
      <c r="B20" s="11">
        <f>VLOOKUP(A20,Dataset!A:G,7,FALSE)</f>
        <v>0</v>
      </c>
      <c r="C20" s="11">
        <f>VLOOKUP(A20,Dataset!A:N,14,FALSE)</f>
        <v>0</v>
      </c>
      <c r="D20" s="11">
        <f>VLOOKUP(A20,Dataset!A:R,18,FALSE)</f>
        <v>0</v>
      </c>
      <c r="E20" s="11">
        <f>VLOOKUP(A20,Dataset!A:T,20,FALSE)</f>
        <v>0</v>
      </c>
      <c r="F20" s="8">
        <f>VLOOKUP(A20,Dataset!A:V,22,FALSE)</f>
        <v>0</v>
      </c>
    </row>
    <row r="21" spans="1:6" ht="15.05" x14ac:dyDescent="0.3">
      <c r="A21" s="7" t="s">
        <v>57</v>
      </c>
      <c r="B21" s="11">
        <f>VLOOKUP(A21,Dataset!A:G,7,FALSE)</f>
        <v>41.3</v>
      </c>
      <c r="C21" s="11">
        <f>VLOOKUP(A21,Dataset!A:N,14,FALSE)</f>
        <v>124.4</v>
      </c>
      <c r="D21" s="11">
        <f>VLOOKUP(A21,Dataset!A:R,18,FALSE)</f>
        <v>75</v>
      </c>
      <c r="E21" s="11">
        <f>VLOOKUP(A21,Dataset!A:T,20,FALSE)</f>
        <v>151.5</v>
      </c>
      <c r="F21" s="8">
        <f>VLOOKUP(A21,Dataset!A:V,22,FALSE)</f>
        <v>75</v>
      </c>
    </row>
    <row r="22" spans="1:6" ht="15.05" x14ac:dyDescent="0.3">
      <c r="A22" s="7" t="s">
        <v>58</v>
      </c>
      <c r="B22" s="11">
        <f>VLOOKUP(A22,Dataset!A:G,7,FALSE)</f>
        <v>-1</v>
      </c>
      <c r="C22" s="11">
        <f>VLOOKUP(A22,Dataset!A:N,14,FALSE)</f>
        <v>-1</v>
      </c>
      <c r="D22" s="11">
        <f>VLOOKUP(A22,Dataset!A:R,18,FALSE)</f>
        <v>-1</v>
      </c>
      <c r="E22" s="11">
        <f>VLOOKUP(A22,Dataset!A:T,20,FALSE)</f>
        <v>-1</v>
      </c>
      <c r="F22" s="8">
        <f>VLOOKUP(A22,Dataset!A:V,22,FALSE)</f>
        <v>-1</v>
      </c>
    </row>
    <row r="23" spans="1:6" ht="15.05" x14ac:dyDescent="0.3">
      <c r="A23" s="7" t="s">
        <v>31</v>
      </c>
      <c r="B23" s="11">
        <f>VLOOKUP(A23,Dataset!A:G,7,FALSE)</f>
        <v>45</v>
      </c>
      <c r="C23" s="11">
        <f>VLOOKUP(A23,Dataset!A:N,14,FALSE)</f>
        <v>133.4</v>
      </c>
      <c r="D23" s="11">
        <f>VLOOKUP(A23,Dataset!A:R,18,FALSE)</f>
        <v>79.400000000000006</v>
      </c>
      <c r="E23" s="11">
        <f>VLOOKUP(A23,Dataset!A:T,20,FALSE)</f>
        <v>160.9</v>
      </c>
      <c r="F23" s="8">
        <f>VLOOKUP(A23,Dataset!A:V,22,FALSE)</f>
        <v>79.400000000000006</v>
      </c>
    </row>
    <row r="24" spans="1:6" ht="15.05" x14ac:dyDescent="0.3">
      <c r="A24" s="7" t="s">
        <v>32</v>
      </c>
      <c r="B24" s="11">
        <f>VLOOKUP(A24,Dataset!A:G,7,FALSE)</f>
        <v>-1</v>
      </c>
      <c r="C24" s="11">
        <f>VLOOKUP(A24,Dataset!A:N,14,FALSE)</f>
        <v>-1</v>
      </c>
      <c r="D24" s="11">
        <f>VLOOKUP(A24,Dataset!A:R,18,FALSE)</f>
        <v>-1</v>
      </c>
      <c r="E24" s="11">
        <f>VLOOKUP(A24,Dataset!A:T,20,FALSE)</f>
        <v>-1</v>
      </c>
      <c r="F24" s="8">
        <f>VLOOKUP(A24,Dataset!A:V,22,FALSE)</f>
        <v>-1</v>
      </c>
    </row>
    <row r="25" spans="1:6" ht="15.05" x14ac:dyDescent="0.3">
      <c r="A25" s="7" t="s">
        <v>34</v>
      </c>
      <c r="B25" s="11">
        <f>VLOOKUP(A25,Dataset!A:G,7,FALSE)</f>
        <v>43.3</v>
      </c>
      <c r="C25" s="11">
        <f>VLOOKUP(A25,Dataset!A:N,14,FALSE)</f>
        <v>128.6</v>
      </c>
      <c r="D25" s="11">
        <f>VLOOKUP(A25,Dataset!A:R,18,FALSE)</f>
        <v>79.400000000000006</v>
      </c>
      <c r="E25" s="11">
        <f>VLOOKUP(A25,Dataset!A:T,20,FALSE)</f>
        <v>160.9</v>
      </c>
      <c r="F25" s="8">
        <f>VLOOKUP(A25,Dataset!A:V,22,FALSE)</f>
        <v>79.400000000000006</v>
      </c>
    </row>
    <row r="26" spans="1:6" ht="15.05" x14ac:dyDescent="0.3">
      <c r="A26" s="7" t="s">
        <v>37</v>
      </c>
      <c r="B26" s="11">
        <f>VLOOKUP(A26,Dataset!A:G,7,FALSE)</f>
        <v>49.1</v>
      </c>
      <c r="C26" s="11">
        <f>VLOOKUP(A26,Dataset!A:N,14,FALSE)</f>
        <v>146.80000000000001</v>
      </c>
      <c r="D26" s="11">
        <f>VLOOKUP(A26,Dataset!A:R,18,FALSE)</f>
        <v>90.9</v>
      </c>
      <c r="E26" s="11">
        <f>VLOOKUP(A26,Dataset!A:T,20,FALSE)</f>
        <v>183.5</v>
      </c>
      <c r="F26" s="8">
        <f>VLOOKUP(A26,Dataset!A:V,22,FALSE)</f>
        <v>90.9</v>
      </c>
    </row>
    <row r="27" spans="1:6" ht="15.05" x14ac:dyDescent="0.3">
      <c r="A27" s="7" t="s">
        <v>39</v>
      </c>
      <c r="B27" s="11">
        <f>VLOOKUP(A27,Dataset!A:G,7,FALSE)</f>
        <v>51.8</v>
      </c>
      <c r="C27" s="11">
        <f>VLOOKUP(A27,Dataset!A:N,14,FALSE)</f>
        <v>156.4</v>
      </c>
      <c r="D27" s="11">
        <f>VLOOKUP(A27,Dataset!A:R,18,FALSE)</f>
        <v>93.1</v>
      </c>
      <c r="E27" s="11">
        <f>VLOOKUP(A27,Dataset!A:T,20,FALSE)</f>
        <v>188.1</v>
      </c>
      <c r="F27" s="8">
        <f>VLOOKUP(A27,Dataset!A:V,22,FALSE)</f>
        <v>93.1</v>
      </c>
    </row>
    <row r="28" spans="1:6" ht="15.05" x14ac:dyDescent="0.3">
      <c r="A28" s="18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5.05" x14ac:dyDescent="0.3">
      <c r="A29" s="18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5.05" x14ac:dyDescent="0.3">
      <c r="A30" s="18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J7" sqref="J7"/>
    </sheetView>
  </sheetViews>
  <sheetFormatPr defaultColWidth="11" defaultRowHeight="15.05" x14ac:dyDescent="0.3"/>
  <cols>
    <col min="1" max="1" width="39.85546875" style="1" bestFit="1" customWidth="1"/>
    <col min="2" max="16384" width="11" style="1"/>
  </cols>
  <sheetData>
    <row r="1" spans="1:10" s="41" customFormat="1" ht="20.3" x14ac:dyDescent="0.35">
      <c r="A1" s="42" t="s">
        <v>56</v>
      </c>
      <c r="B1" s="41" t="s">
        <v>174</v>
      </c>
    </row>
    <row r="2" spans="1:10" customFormat="1" ht="13.1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.350000000000001" x14ac:dyDescent="0.35">
      <c r="A5" s="43" t="s">
        <v>53</v>
      </c>
      <c r="B5" s="40" t="s">
        <v>211</v>
      </c>
    </row>
    <row r="6" spans="1:10" ht="18.350000000000001" x14ac:dyDescent="0.35">
      <c r="A6" s="43" t="s">
        <v>153</v>
      </c>
      <c r="B6" s="40"/>
    </row>
    <row r="7" spans="1:10" ht="18.350000000000001" x14ac:dyDescent="0.35">
      <c r="A7" s="43"/>
      <c r="B7" s="40"/>
    </row>
    <row r="9" spans="1:10" ht="24.25" x14ac:dyDescent="0.45">
      <c r="A9" s="17" t="s">
        <v>165</v>
      </c>
      <c r="I9" s="2"/>
      <c r="J9" s="2"/>
    </row>
    <row r="10" spans="1:10" x14ac:dyDescent="0.3">
      <c r="A10" s="33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4.25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 t="str">
        <f>MID($A16, 1, FIND("-", $A16) - 1)</f>
        <v>20000</v>
      </c>
      <c r="C16" s="1" t="str">
        <f>MID($A16, FIND("-", $A16) + 1, SEARCH("-", $A16, FIND("-", $A16) + 1) - FIND("-", $A16) - 1)</f>
        <v>Monday</v>
      </c>
      <c r="D16" s="11" t="str">
        <f>MID($A16, FIND("-", $A16, FIND("-", $A16) + 1) + 1, SEARCH("-", $A16, FIND("-", $A16, FIND("-", $A16) + 1) + 1) - FIND("-", $A16, FIND("-", $A16) + 1) - 1)</f>
        <v>0</v>
      </c>
      <c r="E16" s="1" t="str">
        <f>MID($A16, FIND("-", $A16, FIND("-", $A16, FIND("-", $A16) + 1) + 1) + 1, SEARCH("-", $A16, FIND("-", $A16, FIND("-", $A16, FIND("-", $A16) + 1) + 1) + 1) - FIND("-", $A16, FIND("-", $A16, FIND("-", $A16) + 1) + 1) - 1)</f>
        <v>Sunday</v>
      </c>
      <c r="F16" s="11" t="str">
        <f>MID($A16, FIND("-", $A16, FIND("-", $A16, FIND("-", $A16, FIND("-", $A16) + 1) + 1) + 1) + 1, LEN($A16) - FIND("-", $A16, FIND("-", $A16, FIND("-", $A16, FIND("-", $A16) + 1) + 1) + 1))</f>
        <v>24</v>
      </c>
    </row>
    <row r="17" spans="1:6" x14ac:dyDescent="0.3">
      <c r="A17" s="7" t="s">
        <v>122</v>
      </c>
      <c r="B17" s="11" t="str">
        <f t="shared" ref="B17:B54" si="0">MID($A17, 1, FIND("-", $A17) - 1)</f>
        <v>20002</v>
      </c>
      <c r="C17" s="1" t="str">
        <f t="shared" ref="C17:C54" si="1">MID($A17, FIND("-", $A17) + 1, SEARCH("-", $A17, FIND("-", $A17) + 1) - FIND("-", $A17) - 1)</f>
        <v>Monday</v>
      </c>
      <c r="D17" s="11" t="str">
        <f t="shared" ref="D17:D54" si="2">MID($A17, FIND("-", $A17, FIND("-", $A17) + 1) + 1, SEARCH("-", $A17, FIND("-", $A17, FIND("-", $A17) + 1) + 1) - FIND("-", $A17, FIND("-", $A17) + 1) - 1)</f>
        <v>0</v>
      </c>
      <c r="E17" s="1" t="str">
        <f t="shared" ref="E17:E54" si="3">MID($A17, FIND("-", $A17, FIND("-", $A17, FIND("-", $A17) + 1) + 1) + 1, SEARCH("-", $A17, FIND("-", $A17, FIND("-", $A17, FIND("-", $A17) + 1) + 1) + 1) - FIND("-", $A17, FIND("-", $A17, FIND("-", $A17) + 1) + 1) - 1)</f>
        <v>Sunday</v>
      </c>
      <c r="F17" s="11" t="str">
        <f t="shared" ref="F17:F54" si="4">MID($A17, FIND("-", $A17, FIND("-", $A17, FIND("-", $A17, FIND("-", $A17) + 1) + 1) + 1) + 1, LEN($A17) - FIND("-", $A17, FIND("-", $A17, FIND("-", $A17, FIND("-", $A17) + 1) + 1) + 1))</f>
        <v>24</v>
      </c>
    </row>
    <row r="18" spans="1:6" x14ac:dyDescent="0.3">
      <c r="A18" s="7" t="s">
        <v>123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">
      <c r="A19" s="7" t="s">
        <v>124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">
      <c r="A20" s="7" t="s">
        <v>125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">
      <c r="A21" s="7" t="s">
        <v>126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">
      <c r="A22" s="7" t="s">
        <v>127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">
      <c r="A23" s="7" t="s">
        <v>128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">
      <c r="A24" s="7" t="s">
        <v>129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">
      <c r="A25" s="7" t="s">
        <v>130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">
      <c r="A26" s="7" t="s">
        <v>131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">
      <c r="A27" s="7" t="s">
        <v>132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">
      <c r="A28" s="7" t="s">
        <v>133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">
      <c r="A29" s="7" t="s">
        <v>134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">
      <c r="A30" s="7" t="s">
        <v>135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">
      <c r="A31" s="7" t="s">
        <v>136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">
      <c r="A32" s="7" t="s">
        <v>137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">
      <c r="A33" s="7" t="s">
        <v>138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">
      <c r="A34" s="7" t="s">
        <v>139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">
      <c r="A35" s="7" t="s">
        <v>140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">
      <c r="A36" s="7" t="s">
        <v>141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">
      <c r="A37" s="7" t="s">
        <v>142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">
      <c r="A38" s="7" t="s">
        <v>143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">
      <c r="A39" s="7" t="s">
        <v>144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">
      <c r="A40" s="7" t="s">
        <v>145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">
      <c r="A41" s="7" t="s">
        <v>146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">
      <c r="A42" s="7" t="s">
        <v>147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">
      <c r="A43" s="7" t="s">
        <v>148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">
      <c r="A44" s="7" t="s">
        <v>149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">
      <c r="A45" s="7" t="s">
        <v>150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">
      <c r="A46" s="7" t="s">
        <v>112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">
      <c r="A47" s="7" t="s">
        <v>113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">
      <c r="A48" s="7" t="s">
        <v>114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">
      <c r="A49" s="7" t="s">
        <v>115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">
      <c r="A50" s="7" t="s">
        <v>116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">
      <c r="A51" s="7" t="s">
        <v>117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">
      <c r="A52" s="7" t="s">
        <v>118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">
      <c r="A53" s="7" t="s">
        <v>119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">
      <c r="A54" s="9" t="s">
        <v>120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abSelected="1" zoomScaleNormal="100" workbookViewId="0">
      <selection activeCell="G11" sqref="G11"/>
    </sheetView>
  </sheetViews>
  <sheetFormatPr defaultColWidth="11" defaultRowHeight="13.1" x14ac:dyDescent="0.25"/>
  <cols>
    <col min="1" max="1" width="28.140625" style="2" bestFit="1" customWidth="1"/>
    <col min="2" max="2" width="17.85546875" style="2" bestFit="1" customWidth="1"/>
    <col min="3" max="3" width="11" style="2" bestFit="1" customWidth="1"/>
    <col min="4" max="4" width="13.140625" style="2" bestFit="1" customWidth="1"/>
    <col min="5" max="5" width="10.85546875" style="2" bestFit="1" customWidth="1"/>
    <col min="6" max="6" width="13.28515625" style="2" bestFit="1" customWidth="1"/>
    <col min="7" max="8" width="14.7109375" style="2" bestFit="1" customWidth="1"/>
    <col min="9" max="9" width="17.85546875" style="2" bestFit="1" customWidth="1"/>
    <col min="10" max="10" width="11" style="2" bestFit="1" customWidth="1"/>
    <col min="11" max="11" width="9" style="2" bestFit="1" customWidth="1"/>
    <col min="12" max="12" width="10.85546875" style="2" bestFit="1" customWidth="1"/>
    <col min="13" max="13" width="12.28515625" style="2" bestFit="1" customWidth="1"/>
    <col min="14" max="14" width="11" style="2" bestFit="1" customWidth="1"/>
    <col min="15" max="15" width="8" style="2" bestFit="1" customWidth="1"/>
    <col min="16" max="16" width="12.28515625" style="2" bestFit="1" customWidth="1"/>
    <col min="17" max="17" width="12.7109375" style="2" bestFit="1" customWidth="1"/>
    <col min="18" max="18" width="24.140625" style="2" bestFit="1" customWidth="1"/>
    <col min="19" max="19" width="12.7109375" style="2" bestFit="1" customWidth="1"/>
    <col min="20" max="20" width="16" style="2" bestFit="1" customWidth="1"/>
    <col min="21" max="21" width="9" style="2" bestFit="1" customWidth="1"/>
    <col min="22" max="22" width="10.85546875" style="2" bestFit="1" customWidth="1"/>
    <col min="23" max="24" width="13.28515625" style="2" bestFit="1" customWidth="1"/>
    <col min="25" max="25" width="15" style="2" bestFit="1" customWidth="1"/>
    <col min="26" max="16384" width="11" style="2"/>
  </cols>
  <sheetData>
    <row r="1" spans="1:3" ht="20.3" x14ac:dyDescent="0.35">
      <c r="A1" s="42" t="s">
        <v>85</v>
      </c>
      <c r="B1" s="41" t="s">
        <v>167</v>
      </c>
    </row>
    <row r="2" spans="1:3" ht="18.350000000000001" x14ac:dyDescent="0.35">
      <c r="B2" s="40" t="s">
        <v>166</v>
      </c>
    </row>
    <row r="5" spans="1:3" ht="15.05" x14ac:dyDescent="0.3">
      <c r="B5" s="1" t="s">
        <v>151</v>
      </c>
    </row>
    <row r="6" spans="1:3" ht="15.05" x14ac:dyDescent="0.3">
      <c r="A6" s="3" t="s">
        <v>53</v>
      </c>
      <c r="B6" s="1" t="s">
        <v>212</v>
      </c>
    </row>
    <row r="7" spans="1:3" ht="15.05" x14ac:dyDescent="0.3">
      <c r="A7" s="3" t="s">
        <v>153</v>
      </c>
      <c r="B7" s="1" t="s">
        <v>213</v>
      </c>
    </row>
    <row r="10" spans="1:3" ht="24.25" x14ac:dyDescent="0.45">
      <c r="A10" s="17" t="s">
        <v>162</v>
      </c>
    </row>
    <row r="11" spans="1:3" ht="15.05" x14ac:dyDescent="0.3">
      <c r="A11" s="32" t="s">
        <v>86</v>
      </c>
      <c r="B11" s="16" t="s">
        <v>87</v>
      </c>
      <c r="C11" s="16" t="s">
        <v>88</v>
      </c>
    </row>
    <row r="12" spans="1:3" ht="15.05" x14ac:dyDescent="0.3">
      <c r="A12" s="32">
        <v>44927</v>
      </c>
      <c r="B12" s="16" t="s">
        <v>59</v>
      </c>
      <c r="C12" s="16">
        <v>200</v>
      </c>
    </row>
    <row r="13" spans="1:3" ht="15.05" x14ac:dyDescent="0.3">
      <c r="A13" s="32">
        <v>44928</v>
      </c>
      <c r="B13" s="16" t="s">
        <v>60</v>
      </c>
      <c r="C13" s="16" cm="1">
        <f t="array" aca="1" ref="C13" ca="1">SUM(IFERROR(C11:C21, 20))</f>
        <v>0</v>
      </c>
    </row>
    <row r="14" spans="1:3" ht="15.05" x14ac:dyDescent="0.3">
      <c r="A14" s="32">
        <v>44929</v>
      </c>
      <c r="B14" s="16" t="s">
        <v>61</v>
      </c>
      <c r="C14" s="16">
        <v>50</v>
      </c>
    </row>
    <row r="15" spans="1:3" ht="15.05" x14ac:dyDescent="0.3">
      <c r="A15" s="32">
        <v>44930</v>
      </c>
      <c r="B15" s="16" t="s">
        <v>62</v>
      </c>
      <c r="C15" s="16">
        <v>20</v>
      </c>
    </row>
    <row r="16" spans="1:3" ht="15.05" x14ac:dyDescent="0.3">
      <c r="A16" s="32">
        <v>44931</v>
      </c>
      <c r="B16" s="16" t="s">
        <v>63</v>
      </c>
      <c r="C16" s="16">
        <v>10</v>
      </c>
    </row>
    <row r="17" spans="1:3" ht="15.05" x14ac:dyDescent="0.3">
      <c r="A17" s="32">
        <v>44932</v>
      </c>
      <c r="B17" s="16" t="s">
        <v>154</v>
      </c>
      <c r="C17" s="16">
        <v>150</v>
      </c>
    </row>
    <row r="18" spans="1:3" ht="15.05" x14ac:dyDescent="0.3">
      <c r="A18" s="32">
        <v>44933</v>
      </c>
      <c r="B18" s="16" t="s">
        <v>155</v>
      </c>
      <c r="C18" s="16">
        <v>80</v>
      </c>
    </row>
    <row r="19" spans="1:3" ht="15.05" x14ac:dyDescent="0.3">
      <c r="A19" s="32">
        <v>44934</v>
      </c>
      <c r="B19" s="16" t="s">
        <v>156</v>
      </c>
      <c r="C19" s="16">
        <v>20</v>
      </c>
    </row>
    <row r="20" spans="1:3" ht="15.05" x14ac:dyDescent="0.3">
      <c r="A20" s="32">
        <v>44935</v>
      </c>
      <c r="B20" s="16" t="s">
        <v>157</v>
      </c>
      <c r="C20" s="16">
        <v>30</v>
      </c>
    </row>
    <row r="21" spans="1:3" ht="15.05" x14ac:dyDescent="0.3">
      <c r="A21" s="32">
        <v>44936</v>
      </c>
      <c r="B21" s="16" t="s">
        <v>158</v>
      </c>
      <c r="C21" s="16">
        <v>20</v>
      </c>
    </row>
    <row r="22" spans="1:3" ht="15.05" x14ac:dyDescent="0.3">
      <c r="B22" s="16" t="s">
        <v>159</v>
      </c>
      <c r="C22" s="2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5" zoomScaleNormal="100" workbookViewId="0">
      <selection activeCell="G23" sqref="G23"/>
    </sheetView>
  </sheetViews>
  <sheetFormatPr defaultColWidth="11" defaultRowHeight="13.1" x14ac:dyDescent="0.25"/>
  <cols>
    <col min="1" max="1" width="28.140625" style="2" bestFit="1" customWidth="1"/>
    <col min="2" max="16384" width="11" style="2"/>
  </cols>
  <sheetData>
    <row r="1" spans="1:14" ht="20.3" x14ac:dyDescent="0.35">
      <c r="A1" s="42" t="s">
        <v>98</v>
      </c>
      <c r="B1" s="41" t="s">
        <v>175</v>
      </c>
    </row>
    <row r="3" spans="1:14" ht="15.05" x14ac:dyDescent="0.3">
      <c r="B3" s="1" t="s">
        <v>151</v>
      </c>
    </row>
    <row r="4" spans="1:14" ht="18.350000000000001" x14ac:dyDescent="0.35">
      <c r="A4" s="43" t="s">
        <v>53</v>
      </c>
      <c r="B4" s="1"/>
    </row>
    <row r="5" spans="1:14" ht="18.350000000000001" x14ac:dyDescent="0.35">
      <c r="A5" s="43" t="s">
        <v>153</v>
      </c>
      <c r="B5" s="1"/>
    </row>
    <row r="6" spans="1:14" ht="15.05" x14ac:dyDescent="0.3">
      <c r="A6" s="3"/>
      <c r="B6" s="1"/>
    </row>
    <row r="8" spans="1:14" ht="24.25" x14ac:dyDescent="0.45">
      <c r="A8" s="17" t="s">
        <v>162</v>
      </c>
      <c r="M8" s="17" t="s">
        <v>163</v>
      </c>
    </row>
    <row r="9" spans="1:14" ht="15.05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.05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.05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.05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.05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.05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.05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.05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.05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.05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4.25" x14ac:dyDescent="0.45">
      <c r="A21" s="17" t="s">
        <v>168</v>
      </c>
    </row>
    <row r="22" spans="1:14" ht="15.05" x14ac:dyDescent="0.3">
      <c r="A22" s="13" t="s">
        <v>100</v>
      </c>
      <c r="B22" s="16" t="s">
        <v>101</v>
      </c>
      <c r="C22" s="15" t="s">
        <v>102</v>
      </c>
    </row>
    <row r="23" spans="1:14" ht="15.05" x14ac:dyDescent="0.3">
      <c r="A23" s="7">
        <v>10100</v>
      </c>
      <c r="B23" s="11">
        <v>10102</v>
      </c>
      <c r="C23" s="44"/>
    </row>
    <row r="24" spans="1:14" ht="15.05" x14ac:dyDescent="0.3">
      <c r="A24" s="7">
        <v>10100</v>
      </c>
      <c r="B24" s="11">
        <v>10104</v>
      </c>
      <c r="C24" s="44"/>
    </row>
    <row r="25" spans="1:14" ht="15.05" x14ac:dyDescent="0.3">
      <c r="A25" s="7">
        <v>10108</v>
      </c>
      <c r="B25" s="11">
        <v>10102</v>
      </c>
      <c r="C25" s="44"/>
    </row>
    <row r="26" spans="1:14" ht="15.05" x14ac:dyDescent="0.3">
      <c r="A26" s="7">
        <v>10100</v>
      </c>
      <c r="B26" s="11">
        <v>10106</v>
      </c>
      <c r="C26" s="44"/>
    </row>
    <row r="27" spans="1:14" ht="15.05" x14ac:dyDescent="0.3">
      <c r="A27" s="7">
        <v>10108</v>
      </c>
      <c r="B27" s="11">
        <v>10110</v>
      </c>
      <c r="C27" s="44"/>
    </row>
    <row r="28" spans="1:14" ht="15.05" x14ac:dyDescent="0.3">
      <c r="A28" s="7">
        <v>10102</v>
      </c>
      <c r="B28" s="11">
        <v>10104</v>
      </c>
      <c r="C28" s="44"/>
    </row>
    <row r="29" spans="1:14" ht="15.05" x14ac:dyDescent="0.3">
      <c r="A29" s="7">
        <v>10106</v>
      </c>
      <c r="B29" s="11">
        <v>10108</v>
      </c>
      <c r="C29" s="44"/>
    </row>
    <row r="30" spans="1:14" ht="15.05" x14ac:dyDescent="0.3">
      <c r="A30" s="7">
        <v>10102</v>
      </c>
      <c r="B30" s="11">
        <v>10106</v>
      </c>
      <c r="C30" s="44"/>
    </row>
    <row r="31" spans="1:14" ht="15.05" x14ac:dyDescent="0.3">
      <c r="A31" s="7">
        <v>10110</v>
      </c>
      <c r="B31" s="11">
        <v>10114</v>
      </c>
      <c r="C31" s="44"/>
    </row>
    <row r="32" spans="1:14" ht="15.05" x14ac:dyDescent="0.3">
      <c r="A32" s="7">
        <v>10104</v>
      </c>
      <c r="B32" s="11">
        <v>10106</v>
      </c>
      <c r="C32" s="44"/>
    </row>
    <row r="33" spans="1:3" ht="15.05" x14ac:dyDescent="0.3">
      <c r="A33" s="7">
        <v>10110</v>
      </c>
      <c r="B33" s="11">
        <v>10112</v>
      </c>
      <c r="C33" s="44"/>
    </row>
    <row r="34" spans="1:3" ht="15.05" x14ac:dyDescent="0.3">
      <c r="A34" s="7">
        <v>10100</v>
      </c>
      <c r="B34" s="11">
        <v>10114</v>
      </c>
      <c r="C34" s="44"/>
    </row>
    <row r="35" spans="1:3" ht="15.05" x14ac:dyDescent="0.3">
      <c r="A35" s="9">
        <v>10112</v>
      </c>
      <c r="B35" s="12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Preeti Sharma</cp:lastModifiedBy>
  <dcterms:created xsi:type="dcterms:W3CDTF">2015-02-10T17:33:11Z</dcterms:created>
  <dcterms:modified xsi:type="dcterms:W3CDTF">2023-12-10T19:46:33Z</dcterms:modified>
</cp:coreProperties>
</file>